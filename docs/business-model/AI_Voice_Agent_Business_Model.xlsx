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lient Pricing" sheetId="2" state="visible" r:id="rId2"/>
    <sheet name="Unit Economics" sheetId="3" state="visible" r:id="rId3"/>
    <sheet name="Platform Costs" sheetId="4" state="visible" r:id="rId4"/>
    <sheet name="Market Benchmarks" sheetId="5" state="visible" r:id="rId5"/>
    <sheet name="Support and SLA" sheetId="6" state="visible" r:id="rId6"/>
    <sheet name="Agency Forecast" sheetId="7" state="visible" r:id="rId7"/>
    <sheet name="Sales Playbook" sheetId="8" state="visible" r:id="rId8"/>
    <sheet name="Sources" sheetId="9" state="visible" r:id="rId9"/>
  </sheets>
  <definedNames>
    <definedName name="_xlnm._FilterDatabase" localSheetId="0" hidden="1">'Assumptions'!$A$1:$J$15</definedName>
    <definedName name="_xlnm._FilterDatabase" localSheetId="1" hidden="1">'Client Pricing'!$A$1:$J$16</definedName>
    <definedName name="_xlnm._FilterDatabase" localSheetId="2" hidden="1">'Unit Economics'!$A$1:$J$8</definedName>
    <definedName name="_xlnm._FilterDatabase" localSheetId="3" hidden="1">'Platform Costs'!$A$1:$J$12</definedName>
    <definedName name="_xlnm._FilterDatabase" localSheetId="4" hidden="1">'Market Benchmarks'!$A$1:$J$13</definedName>
    <definedName name="_xlnm._FilterDatabase" localSheetId="5" hidden="1">'Support and SLA'!$A$1:$J$19</definedName>
    <definedName name="_xlnm._FilterDatabase" localSheetId="6" hidden="1">'Agency Forecast'!$A$1:$J$8</definedName>
    <definedName name="_xlnm._FilterDatabase" localSheetId="7" hidden="1">'Sales Playbook'!$A$1:$J$11</definedName>
    <definedName name="_xlnm._FilterDatabase" localSheetId="8" hidden="1">'Sources'!$A$1:$J$21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Rs #,##0"/>
    <numFmt numFmtId="166" formatCode="0.0%"/>
    <numFmt numFmtId="167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573"/>
      <sz val="10"/>
    </font>
    <font>
      <b val="1"/>
      <color rgb="00FFFFFF"/>
    </font>
    <font>
      <b val="1"/>
      <color rgb="0014213D"/>
      <sz val="14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2F80ED"/>
      </patternFill>
    </fill>
    <fill>
      <patternFill patternType="solid">
        <fgColor rgb="00D9EAF7"/>
      </patternFill>
    </fill>
    <fill>
      <patternFill patternType="solid">
        <fgColor rgb="00EEF3F8"/>
      </patternFill>
    </fill>
    <fill>
      <patternFill patternType="solid">
        <fgColor rgb="00DFF2E5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2">
    <xf numFmtId="0" fontId="0" fillId="0" borderId="0"/>
    <xf numFmtId="0" fontId="5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6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0" fontId="5" fillId="0" borderId="1" applyAlignment="1" pivotButton="0" quotePrefix="0" xfId="1">
      <alignment vertical="top" wrapText="1"/>
    </xf>
    <xf numFmtId="0" fontId="5" fillId="5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Revenue, COGS and Gross Profit by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 Economics'!B4</f>
            </strRef>
          </tx>
          <spPr>
            <a:ln>
              <a:prstDash val="solid"/>
            </a:ln>
          </spPr>
          <cat>
            <numRef>
              <f>'Unit Economics'!$A$5:$A$8</f>
            </numRef>
          </cat>
          <val>
            <numRef>
              <f>'Unit Economics'!$B$5:$B$8</f>
            </numRef>
          </val>
        </ser>
        <ser>
          <idx val="1"/>
          <order val="1"/>
          <tx>
            <strRef>
              <f>'Unit Economics'!H4</f>
            </strRef>
          </tx>
          <spPr>
            <a:ln>
              <a:prstDash val="solid"/>
            </a:ln>
          </spPr>
          <cat>
            <numRef>
              <f>'Unit Economics'!$A$5:$A$8</f>
            </numRef>
          </cat>
          <val>
            <numRef>
              <f>'Unit Economics'!$H$5:$H$8</f>
            </numRef>
          </val>
        </ser>
        <ser>
          <idx val="2"/>
          <order val="2"/>
          <tx>
            <strRef>
              <f>'Unit Economics'!I4</f>
            </strRef>
          </tx>
          <spPr>
            <a:ln>
              <a:prstDash val="solid"/>
            </a:ln>
          </spPr>
          <cat>
            <numRef>
              <f>'Unit Economics'!$A$5:$A$8</f>
            </numRef>
          </cat>
          <val>
            <numRef>
              <f>'Unit Economics'!$I$5:$I$8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and Gross Profit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'Agency Forecast'!F4</f>
            </strRef>
          </tx>
          <spPr>
            <a:ln>
              <a:prstDash val="solid"/>
            </a:ln>
          </spPr>
          <cat>
            <numRef>
              <f>'Agency Forecast'!$A$5:$A$8</f>
            </numRef>
          </cat>
          <val>
            <numRef>
              <f>'Agency Forecast'!$F$5:$F$8</f>
            </numRef>
          </val>
        </ser>
        <ser>
          <idx val="1"/>
          <order val="1"/>
          <tx>
            <strRef>
              <f>'Agency Forecast'!G4</f>
            </strRef>
          </tx>
          <spPr>
            <a:ln>
              <a:prstDash val="solid"/>
            </a:ln>
          </spPr>
          <cat>
            <numRef>
              <f>'Agency Forecast'!$A$5:$A$8</f>
            </numRef>
          </cat>
          <val>
            <numRef>
              <f>'Agency Forecast'!$G$5:$G$8</f>
            </numRef>
          </val>
        </ser>
        <ser>
          <idx val="2"/>
          <order val="2"/>
          <tx>
            <strRef>
              <f>'Agency Forecast'!H4</f>
            </strRef>
          </tx>
          <spPr>
            <a:ln>
              <a:prstDash val="solid"/>
            </a:ln>
          </spPr>
          <cat>
            <numRef>
              <f>'Agency Forecast'!$A$5:$A$8</f>
            </numRef>
          </cat>
          <val>
            <numRef>
              <f>'Agency Forecast'!$H$5:$H$8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elevenlabs.io/pricing/agents" TargetMode="External" Id="rId1" /><Relationship Type="http://schemas.openxmlformats.org/officeDocument/2006/relationships/hyperlink" Target="https://ai.google.dev/gemini-api/docs/pricing" TargetMode="External" Id="rId2" /><Relationship Type="http://schemas.openxmlformats.org/officeDocument/2006/relationships/hyperlink" Target="https://supabase.com/pricing" TargetMode="External" Id="rId3" /><Relationship Type="http://schemas.openxmlformats.org/officeDocument/2006/relationships/hyperlink" Target="https://n8n.io/pricing/" TargetMode="External" Id="rId4" /><Relationship Type="http://schemas.openxmlformats.org/officeDocument/2006/relationships/hyperlink" Target="https://vercel.com/pricing" TargetMode="External" Id="rId5" /><Relationship Type="http://schemas.openxmlformats.org/officeDocument/2006/relationships/hyperlink" Target="https://resend.com/pricing" TargetMode="External" Id="rId6" /><Relationship Type="http://schemas.openxmlformats.org/officeDocument/2006/relationships/hyperlink" Target="https://www.twilio.com/en-us/voice/pricing/us" TargetMode="External" Id="rId7" /><Relationship Type="http://schemas.openxmlformats.org/officeDocument/2006/relationships/hyperlink" Target="https://www.twilio.com/voice/pricing/pk" TargetMode="External" Id="rId8" /><Relationship Type="http://schemas.openxmlformats.org/officeDocument/2006/relationships/hyperlink" Target="https://www.goodcall.com/pricing" TargetMode="External" Id="rId9" /><Relationship Type="http://schemas.openxmlformats.org/officeDocument/2006/relationships/hyperlink" Target="https://smith.ai/receptionists" TargetMode="External" Id="rId10" /><Relationship Type="http://schemas.openxmlformats.org/officeDocument/2006/relationships/hyperlink" Target="https://www.retellai.com/pricing" TargetMode="External" Id="rId11" /><Relationship Type="http://schemas.openxmlformats.org/officeDocument/2006/relationships/hyperlink" Target="https://vapi.ai/pricing" TargetMode="External" Id="rId12" /><Relationship Type="http://schemas.openxmlformats.org/officeDocument/2006/relationships/hyperlink" Target="https://www.bland.ai/pricing" TargetMode="External" Id="rId13" /><Relationship Type="http://schemas.openxmlformats.org/officeDocument/2006/relationships/hyperlink" Target="https://synthflow.ai/pricing" TargetMode="External" Id="rId14" /><Relationship Type="http://schemas.openxmlformats.org/officeDocument/2006/relationships/hyperlink" Target="https://www.myaifrontdesk.com/white-label" TargetMode="External" Id="rId15" /><Relationship Type="http://schemas.openxmlformats.org/officeDocument/2006/relationships/hyperlink" Target="https://wildrunai.com/pricing" TargetMode="External" Id="rId16" /><Relationship Type="http://schemas.openxmlformats.org/officeDocument/2006/relationships/hyperlink" Target="https://clutch.co/developers/artificial-intelligence/pricing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</cols>
  <sheetData>
    <row r="1" ht="34" customHeight="1">
      <c r="A1" s="1" t="inlineStr">
        <is>
          <t>Editable Commercial Assumptions</t>
        </is>
      </c>
    </row>
    <row r="2" ht="25" customHeight="1">
      <c r="A2" s="2" t="inlineStr">
        <is>
          <t>Blue cells are inputs. All profitability sheets refer back to these values.</t>
        </is>
      </c>
    </row>
    <row r="4" ht="32" customHeight="1">
      <c r="A4" s="3" t="inlineStr">
        <is>
          <t>Input</t>
        </is>
      </c>
      <c r="B4" s="3" t="inlineStr">
        <is>
          <t>Value</t>
        </is>
      </c>
      <c r="C4" s="3" t="inlineStr">
        <is>
          <t>Unit / note</t>
        </is>
      </c>
    </row>
    <row r="5">
      <c r="A5" s="4" t="inlineStr">
        <is>
          <t>USD to PKR planning rate</t>
        </is>
      </c>
      <c r="B5" s="5" t="n">
        <v>280</v>
      </c>
      <c r="C5" s="4" t="inlineStr">
        <is>
          <t>Editable planning rate; not an accounting quote</t>
        </is>
      </c>
    </row>
    <row r="6">
      <c r="A6" s="6" t="inlineStr">
        <is>
          <t>Global delivery labor cost</t>
        </is>
      </c>
      <c r="B6" s="7" t="n">
        <v>20</v>
      </c>
      <c r="C6" s="6" t="inlineStr">
        <is>
          <t>USD per direct support hour</t>
        </is>
      </c>
    </row>
    <row r="7">
      <c r="A7" s="4" t="inlineStr">
        <is>
          <t>Pakistan delivery labor cost</t>
        </is>
      </c>
      <c r="B7" s="8" t="n">
        <v>10</v>
      </c>
      <c r="C7" s="4" t="inlineStr">
        <is>
          <t>USD per direct support hour</t>
        </is>
      </c>
    </row>
    <row r="8">
      <c r="A8" s="6" t="inlineStr">
        <is>
          <t>ElevenLabs additional minute</t>
        </is>
      </c>
      <c r="B8" s="7" t="n">
        <v>0.08</v>
      </c>
      <c r="C8" s="6" t="inlineStr">
        <is>
          <t>USD/min; LLM and telephony separate</t>
        </is>
      </c>
    </row>
    <row r="9">
      <c r="A9" s="4" t="inlineStr">
        <is>
          <t>Gemini 2.5 Flash via ElevenLabs</t>
        </is>
      </c>
      <c r="B9" s="8" t="n">
        <v>0.0012</v>
      </c>
      <c r="C9" s="4" t="inlineStr">
        <is>
          <t>USD/min planning estimate from ElevenLabs calculator</t>
        </is>
      </c>
    </row>
    <row r="10">
      <c r="A10" s="6" t="inlineStr">
        <is>
          <t>US inbound local telephony</t>
        </is>
      </c>
      <c r="B10" s="7" t="n">
        <v>0.008500000000000001</v>
      </c>
      <c r="C10" s="6" t="inlineStr">
        <is>
          <t>USD/min; carrier pass-through</t>
        </is>
      </c>
    </row>
    <row r="11">
      <c r="A11" s="4" t="inlineStr">
        <is>
          <t>Pakistan outbound landline</t>
        </is>
      </c>
      <c r="B11" s="8" t="n">
        <v>0.155</v>
      </c>
      <c r="C11" s="4" t="inlineStr">
        <is>
          <t>USD/min; carrier pass-through</t>
        </is>
      </c>
    </row>
    <row r="12">
      <c r="A12" s="6" t="inlineStr">
        <is>
          <t>Pakistan outbound mobile</t>
        </is>
      </c>
      <c r="B12" s="7" t="n">
        <v>0.18</v>
      </c>
      <c r="C12" s="6" t="inlineStr">
        <is>
          <t>USD/min; carrier pass-through</t>
        </is>
      </c>
    </row>
    <row r="13">
      <c r="A13" s="4" t="inlineStr">
        <is>
          <t>Annual prepay discount</t>
        </is>
      </c>
      <c r="B13" s="9" t="n">
        <v>0.1</v>
      </c>
      <c r="C13" s="4" t="inlineStr">
        <is>
          <t>10% off recurring service</t>
        </is>
      </c>
    </row>
    <row r="14">
      <c r="A14" s="6" t="inlineStr">
        <is>
          <t>Target standard gross margin</t>
        </is>
      </c>
      <c r="B14" s="10" t="n">
        <v>0.7</v>
      </c>
      <c r="C14" s="6" t="inlineStr">
        <is>
          <t>After direct platform and delivery labor</t>
        </is>
      </c>
    </row>
    <row r="15">
      <c r="A15" s="4" t="inlineStr">
        <is>
          <t>Contingency on platform spend</t>
        </is>
      </c>
      <c r="B15" s="9" t="n">
        <v>0.1</v>
      </c>
      <c r="C15" s="4" t="inlineStr">
        <is>
          <t>Cost variance and test-call reserve</t>
        </is>
      </c>
    </row>
  </sheetData>
  <autoFilter ref="A1:J15"/>
  <mergeCells count="2">
    <mergeCell ref="A1:J1"/>
    <mergeCell ref="A2:J2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2" customWidth="1" min="3" max="3"/>
    <col width="18" customWidth="1" min="4" max="4"/>
    <col width="15" customWidth="1" min="5" max="5"/>
    <col width="15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4" customHeight="1">
      <c r="A1" s="1" t="inlineStr">
        <is>
          <t>Recommended Managed-Service Pricing</t>
        </is>
      </c>
    </row>
    <row r="2" ht="25" customHeight="1">
      <c r="A2" s="2" t="inlineStr">
        <is>
          <t>Usage allowances exclude PSTN carrier charges. Carrier costs should be passed through at cost plus 15-20% administration.</t>
        </is>
      </c>
    </row>
    <row r="4" ht="32" customHeight="1">
      <c r="A4" s="3" t="inlineStr">
        <is>
          <t>Tier</t>
        </is>
      </c>
      <c r="B4" s="3" t="inlineStr">
        <is>
          <t>Best fit</t>
        </is>
      </c>
      <c r="C4" s="3" t="inlineStr">
        <is>
          <t>Locations</t>
        </is>
      </c>
      <c r="D4" s="3" t="inlineStr">
        <is>
          <t>Included AI minutes</t>
        </is>
      </c>
      <c r="E4" s="3" t="inlineStr">
        <is>
          <t>Setup USD</t>
        </is>
      </c>
      <c r="F4" s="3" t="inlineStr">
        <is>
          <t>Monthly USD</t>
        </is>
      </c>
      <c r="G4" s="3" t="inlineStr">
        <is>
          <t>Setup PKR</t>
        </is>
      </c>
      <c r="H4" s="3" t="inlineStr">
        <is>
          <t>Monthly PKR</t>
        </is>
      </c>
      <c r="I4" s="3" t="inlineStr">
        <is>
          <t>Overage USD/min</t>
        </is>
      </c>
      <c r="J4" s="3" t="inlineStr">
        <is>
          <t>Term</t>
        </is>
      </c>
    </row>
    <row r="5">
      <c r="A5" s="4" t="inlineStr">
        <is>
          <t>Launch</t>
        </is>
      </c>
      <c r="B5" s="4" t="inlineStr">
        <is>
          <t>Single restaurant / clinic / small service firm</t>
        </is>
      </c>
      <c r="C5" s="4" t="inlineStr">
        <is>
          <t>1</t>
        </is>
      </c>
      <c r="D5" s="4" t="n">
        <v>300</v>
      </c>
      <c r="E5" s="11" t="n">
        <v>1500</v>
      </c>
      <c r="F5" s="11" t="n">
        <v>497</v>
      </c>
      <c r="G5" s="12" t="n">
        <v>250000</v>
      </c>
      <c r="H5" s="12" t="n">
        <v>99000</v>
      </c>
      <c r="I5" s="11" t="n">
        <v>0.25</v>
      </c>
      <c r="J5" s="4" t="inlineStr">
        <is>
          <t>3-month minimum</t>
        </is>
      </c>
    </row>
    <row r="6">
      <c r="A6" s="6" t="inlineStr">
        <is>
          <t>Growth</t>
        </is>
      </c>
      <c r="B6" s="6" t="inlineStr">
        <is>
          <t>Busy location or 2 locations; orders + reservations</t>
        </is>
      </c>
      <c r="C6" s="6" t="inlineStr">
        <is>
          <t>1-2</t>
        </is>
      </c>
      <c r="D6" s="6" t="n">
        <v>1000</v>
      </c>
      <c r="E6" s="13" t="n">
        <v>3000</v>
      </c>
      <c r="F6" s="13" t="n">
        <v>997</v>
      </c>
      <c r="G6" s="14" t="n">
        <v>500000</v>
      </c>
      <c r="H6" s="14" t="n">
        <v>225000</v>
      </c>
      <c r="I6" s="13" t="n">
        <v>0.22</v>
      </c>
      <c r="J6" s="6" t="inlineStr">
        <is>
          <t>6-month minimum</t>
        </is>
      </c>
    </row>
    <row r="7">
      <c r="A7" s="4" t="inlineStr">
        <is>
          <t>Scale</t>
        </is>
      </c>
      <c r="B7" s="4" t="inlineStr">
        <is>
          <t>Multi-location operator with integrations and QA</t>
        </is>
      </c>
      <c r="C7" s="4" t="inlineStr">
        <is>
          <t>3-5</t>
        </is>
      </c>
      <c r="D7" s="4" t="n">
        <v>3000</v>
      </c>
      <c r="E7" s="11" t="n">
        <v>6000</v>
      </c>
      <c r="F7" s="11" t="n">
        <v>1997</v>
      </c>
      <c r="G7" s="12" t="n">
        <v>1000000</v>
      </c>
      <c r="H7" s="12" t="n">
        <v>450000</v>
      </c>
      <c r="I7" s="11" t="n">
        <v>0.18</v>
      </c>
      <c r="J7" s="4" t="inlineStr">
        <is>
          <t>12-month recommended</t>
        </is>
      </c>
    </row>
    <row r="8">
      <c r="A8" s="6" t="inlineStr">
        <is>
          <t>Enterprise</t>
        </is>
      </c>
      <c r="B8" s="6" t="inlineStr">
        <is>
          <t>Franchise / contact-center replacement</t>
        </is>
      </c>
      <c r="C8" s="6" t="inlineStr">
        <is>
          <t>6+</t>
        </is>
      </c>
      <c r="D8" s="6" t="n">
        <v>8000</v>
      </c>
      <c r="E8" s="13" t="n">
        <v>12000</v>
      </c>
      <c r="F8" s="13" t="n">
        <v>4997</v>
      </c>
      <c r="G8" s="14" t="n">
        <v>2000000</v>
      </c>
      <c r="H8" s="14" t="n">
        <v>1100000</v>
      </c>
      <c r="I8" s="13" t="n">
        <v>0.16</v>
      </c>
      <c r="J8" s="6" t="inlineStr">
        <is>
          <t>Annual contract</t>
        </is>
      </c>
    </row>
    <row r="11">
      <c r="A11" s="15" t="inlineStr">
        <is>
          <t>Commercial rules</t>
        </is>
      </c>
    </row>
    <row r="12">
      <c r="A12" s="16" t="inlineStr">
        <is>
          <t>• Never waive discovery and setup without receiving a 12-month commitment; discount it up to 50% instead.</t>
        </is>
      </c>
    </row>
    <row r="13">
      <c r="A13" s="16" t="inlineStr">
        <is>
          <t>• Bill platform overages monthly; send alerts at 70%, 85%, and 100% of allowance.</t>
        </is>
      </c>
    </row>
    <row r="14">
      <c r="A14" s="16" t="inlineStr">
        <is>
          <t>• Do not include unlimited custom development. Sell change packs or scope a new project.</t>
        </is>
      </c>
    </row>
    <row r="15">
      <c r="A15" s="16" t="inlineStr">
        <is>
          <t>• Price telephony separately because country and direction can change carrier cost by more than 20x.</t>
        </is>
      </c>
    </row>
    <row r="16">
      <c r="A16" s="16" t="inlineStr">
        <is>
          <t>• Charge each additional location 35-60% of the base tier depending on shared menu, workflows, and reporting.</t>
        </is>
      </c>
    </row>
  </sheetData>
  <autoFilter ref="A1:J16"/>
  <mergeCells count="7">
    <mergeCell ref="A1:J1"/>
    <mergeCell ref="A14:J14"/>
    <mergeCell ref="A16:J16"/>
    <mergeCell ref="A12:J12"/>
    <mergeCell ref="A15:J15"/>
    <mergeCell ref="A2:J2"/>
    <mergeCell ref="A13:J13"/>
  </mergeCells>
  <pageMargins left="0.25" right="0.2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3" customWidth="1" min="4" max="4"/>
    <col width="19" customWidth="1" min="5" max="5"/>
    <col width="17" customWidth="1" min="6" max="6"/>
    <col width="16" customWidth="1" min="7" max="7"/>
    <col width="18" customWidth="1" min="8" max="8"/>
    <col width="18" customWidth="1" min="9" max="9"/>
    <col width="16" customWidth="1" min="10" max="10"/>
  </cols>
  <sheetData>
    <row r="1" ht="34" customHeight="1">
      <c r="A1" s="1" t="inlineStr">
        <is>
          <t>Monthly Unit Economics — Global List Price</t>
        </is>
      </c>
    </row>
    <row r="2" ht="25" customHeight="1">
      <c r="A2" s="2" t="inlineStr">
        <is>
          <t>Direct COGS includes platform allocation, direct support labor, monitoring, and contingency; sales/marketing and corporate overhead are excluded.</t>
        </is>
      </c>
    </row>
    <row r="4" ht="32" customHeight="1">
      <c r="A4" s="3" t="inlineStr">
        <is>
          <t>Tier</t>
        </is>
      </c>
      <c r="B4" s="3" t="inlineStr">
        <is>
          <t>Revenue</t>
        </is>
      </c>
      <c r="C4" s="3" t="inlineStr">
        <is>
          <t>AI plan + LLM</t>
        </is>
      </c>
      <c r="D4" s="3" t="inlineStr">
        <is>
          <t>Data/automation/hosting</t>
        </is>
      </c>
      <c r="E4" s="3" t="inlineStr">
        <is>
          <t>Email/monitoring</t>
        </is>
      </c>
      <c r="F4" s="3" t="inlineStr">
        <is>
          <t>Support labor</t>
        </is>
      </c>
      <c r="G4" s="3" t="inlineStr">
        <is>
          <t>Contingency</t>
        </is>
      </c>
      <c r="H4" s="3" t="inlineStr">
        <is>
          <t>Total direct COGS</t>
        </is>
      </c>
      <c r="I4" s="3" t="inlineStr">
        <is>
          <t>Gross profit</t>
        </is>
      </c>
      <c r="J4" s="3" t="inlineStr">
        <is>
          <t>Gross margin</t>
        </is>
      </c>
    </row>
    <row r="5">
      <c r="A5" s="4" t="inlineStr">
        <is>
          <t>Launch</t>
        </is>
      </c>
      <c r="B5" s="11" t="n">
        <v>497</v>
      </c>
      <c r="C5" s="11" t="n">
        <v>24.36</v>
      </c>
      <c r="D5" s="11" t="n">
        <v>55</v>
      </c>
      <c r="E5" s="11" t="n">
        <v>10</v>
      </c>
      <c r="F5" s="11" t="n">
        <v>60</v>
      </c>
      <c r="G5" s="11">
        <f>SUM(C5:E5)*Assumptions!$B$15</f>
        <v/>
      </c>
      <c r="H5" s="11">
        <f>SUM(C5:G5)</f>
        <v/>
      </c>
      <c r="I5" s="11">
        <f>B5-H5</f>
        <v/>
      </c>
      <c r="J5" s="17">
        <f>I5/B5</f>
        <v/>
      </c>
    </row>
    <row r="6">
      <c r="A6" s="6" t="inlineStr">
        <is>
          <t>Growth</t>
        </is>
      </c>
      <c r="B6" s="13" t="n">
        <v>997</v>
      </c>
      <c r="C6" s="13" t="n">
        <v>100.2</v>
      </c>
      <c r="D6" s="13" t="n">
        <v>65</v>
      </c>
      <c r="E6" s="13" t="n">
        <v>20</v>
      </c>
      <c r="F6" s="13" t="n">
        <v>120</v>
      </c>
      <c r="G6" s="13">
        <f>SUM(C6:E6)*Assumptions!$B$15</f>
        <v/>
      </c>
      <c r="H6" s="13">
        <f>SUM(C6:G6)</f>
        <v/>
      </c>
      <c r="I6" s="13">
        <f>B6-H6</f>
        <v/>
      </c>
      <c r="J6" s="17">
        <f>I6/B6</f>
        <v/>
      </c>
    </row>
    <row r="7">
      <c r="A7" s="4" t="inlineStr">
        <is>
          <t>Scale</t>
        </is>
      </c>
      <c r="B7" s="11" t="n">
        <v>1997</v>
      </c>
      <c r="C7" s="11" t="n">
        <v>302.6</v>
      </c>
      <c r="D7" s="11" t="n">
        <v>120</v>
      </c>
      <c r="E7" s="11" t="n">
        <v>40</v>
      </c>
      <c r="F7" s="11" t="n">
        <v>240</v>
      </c>
      <c r="G7" s="11">
        <f>SUM(C7:E7)*Assumptions!$B$15</f>
        <v/>
      </c>
      <c r="H7" s="11">
        <f>SUM(C7:G7)</f>
        <v/>
      </c>
      <c r="I7" s="11">
        <f>B7-H7</f>
        <v/>
      </c>
      <c r="J7" s="17">
        <f>I7/B7</f>
        <v/>
      </c>
    </row>
    <row r="8">
      <c r="A8" s="6" t="inlineStr">
        <is>
          <t>Enterprise</t>
        </is>
      </c>
      <c r="B8" s="13" t="n">
        <v>4997</v>
      </c>
      <c r="C8" s="13" t="n">
        <v>999.6</v>
      </c>
      <c r="D8" s="13" t="n">
        <v>280</v>
      </c>
      <c r="E8" s="13" t="n">
        <v>100</v>
      </c>
      <c r="F8" s="13" t="n">
        <v>600</v>
      </c>
      <c r="G8" s="13">
        <f>SUM(C8:E8)*Assumptions!$B$15</f>
        <v/>
      </c>
      <c r="H8" s="13">
        <f>SUM(C8:G8)</f>
        <v/>
      </c>
      <c r="I8" s="13">
        <f>B8-H8</f>
        <v/>
      </c>
      <c r="J8" s="17">
        <f>I8/B8</f>
        <v/>
      </c>
    </row>
  </sheetData>
  <autoFilter ref="A1:J8"/>
  <mergeCells count="2">
    <mergeCell ref="A1:J1"/>
    <mergeCell ref="A2:J2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  <col width="42" customWidth="1" min="4" max="4"/>
    <col width="25" customWidth="1" min="5" max="5"/>
    <col width="29" customWidth="1" min="6" max="6"/>
    <col width="45" customWidth="1" min="7" max="7"/>
    <col width="38" customWidth="1" min="8" max="8"/>
  </cols>
  <sheetData>
    <row r="1" ht="34" customHeight="1">
      <c r="A1" s="1" t="inlineStr">
        <is>
          <t>Technology Cost Map</t>
        </is>
      </c>
    </row>
    <row r="2" ht="25" customHeight="1">
      <c r="A2" s="2" t="inlineStr">
        <is>
          <t>Official public list prices checked 13 July 2026. Always reconfirm before signing a long-term client contract.</t>
        </is>
      </c>
    </row>
    <row r="4" ht="32" customHeight="1">
      <c r="A4" s="3" t="inlineStr">
        <is>
          <t>Platform</t>
        </is>
      </c>
      <c r="B4" s="3" t="inlineStr">
        <is>
          <t>Role</t>
        </is>
      </c>
      <c r="C4" s="3" t="inlineStr">
        <is>
          <t>Pricing method</t>
        </is>
      </c>
      <c r="D4" s="3" t="inlineStr">
        <is>
          <t>Relevant public price</t>
        </is>
      </c>
      <c r="E4" s="3" t="inlineStr">
        <is>
          <t>Cost driver</t>
        </is>
      </c>
      <c r="F4" s="3" t="inlineStr">
        <is>
          <t>Recommended use</t>
        </is>
      </c>
      <c r="G4" s="3" t="inlineStr">
        <is>
          <t>Cost-control action</t>
        </is>
      </c>
      <c r="H4" s="3" t="inlineStr">
        <is>
          <t>Source</t>
        </is>
      </c>
    </row>
    <row r="5">
      <c r="A5" s="4" t="inlineStr">
        <is>
          <t>ElevenLabs Agents</t>
        </is>
      </c>
      <c r="B5" s="4" t="inlineStr">
        <is>
          <t>Voice, STT, TTS, orchestration</t>
        </is>
      </c>
      <c r="C5" s="4" t="inlineStr">
        <is>
          <t>Plan + included minutes + overage</t>
        </is>
      </c>
      <c r="D5" s="4" t="inlineStr">
        <is>
          <t>$6/75m; $22/275m; $99/1,238m; $299/3,738m; $990/12,375m; $0.08 extra</t>
        </is>
      </c>
      <c r="E5" s="4" t="inlineStr">
        <is>
          <t>Minutes and concurrency</t>
        </is>
      </c>
      <c r="F5" s="4" t="inlineStr">
        <is>
          <t>Primary quality voice stack</t>
        </is>
      </c>
      <c r="G5" s="4" t="inlineStr">
        <is>
          <t>Pool responsibly; shorten prompts; end dead calls; alert on burst usage</t>
        </is>
      </c>
      <c r="H5" s="4" t="inlineStr">
        <is>
          <t>elevenlabs.io/pricing/agents</t>
        </is>
      </c>
    </row>
    <row r="6">
      <c r="A6" s="6" t="inlineStr">
        <is>
          <t>Gemini 2.5 Flash</t>
        </is>
      </c>
      <c r="B6" s="6" t="inlineStr">
        <is>
          <t>Agent reasoning / app chat</t>
        </is>
      </c>
      <c r="C6" s="6" t="inlineStr">
        <is>
          <t>Tokens; ElevenLabs shows per-minute model estimate</t>
        </is>
      </c>
      <c r="D6" s="6" t="inlineStr">
        <is>
          <t>$0.30/M input and $2.50/M output tokens; approx $0.0012/min inside ElevenLabs calculator</t>
        </is>
      </c>
      <c r="E6" s="6" t="inlineStr">
        <is>
          <t>Prompt/output tokens</t>
        </is>
      </c>
      <c r="F6" s="6" t="inlineStr">
        <is>
          <t>Fast multilingual reasoning</t>
        </is>
      </c>
      <c r="G6" s="6" t="inlineStr">
        <is>
          <t>Keep system prompt concise; cache stable context; use Flash-Lite for offline classification</t>
        </is>
      </c>
      <c r="H6" s="6" t="inlineStr">
        <is>
          <t>ai.google.dev/gemini-api/docs/pricing</t>
        </is>
      </c>
    </row>
    <row r="7">
      <c r="A7" s="4" t="inlineStr">
        <is>
          <t>Supabase</t>
        </is>
      </c>
      <c r="B7" s="4" t="inlineStr">
        <is>
          <t>Postgres, auth, storage</t>
        </is>
      </c>
      <c r="C7" s="4" t="inlineStr">
        <is>
          <t>Plan + compute + overages</t>
        </is>
      </c>
      <c r="D7" s="4" t="inlineStr">
        <is>
          <t>Pro from $25/mo; first micro compute covered; extra projects from $10</t>
        </is>
      </c>
      <c r="E7" s="4" t="inlineStr">
        <is>
          <t>Projects, compute, MAU, storage, egress</t>
        </is>
      </c>
      <c r="F7" s="4" t="inlineStr">
        <is>
          <t>Separate production data per premium client</t>
        </is>
      </c>
      <c r="G7" s="4" t="inlineStr">
        <is>
          <t>Start micro; archive audio externally; enforce retention; index queries</t>
        </is>
      </c>
      <c r="H7" s="4" t="inlineStr">
        <is>
          <t>supabase.com/pricing</t>
        </is>
      </c>
    </row>
    <row r="8">
      <c r="A8" s="6" t="inlineStr">
        <is>
          <t>n8n Cloud</t>
        </is>
      </c>
      <c r="B8" s="6" t="inlineStr">
        <is>
          <t>Orders, reservations, CRM/email workflows</t>
        </is>
      </c>
      <c r="C8" s="6" t="inlineStr">
        <is>
          <t>Completed workflow executions</t>
        </is>
      </c>
      <c r="D8" s="6" t="inlineStr">
        <is>
          <t>€20/mo annual 2.5k executions; €50/mo annual 10k</t>
        </is>
      </c>
      <c r="E8" s="6" t="inlineStr">
        <is>
          <t>Executions and concurrency</t>
        </is>
      </c>
      <c r="F8" s="6" t="inlineStr">
        <is>
          <t>Shared agency automation with client separation</t>
        </is>
      </c>
      <c r="G8" s="6" t="inlineStr">
        <is>
          <t>One event per workflow; avoid polling; aggregate steps into one execution</t>
        </is>
      </c>
      <c r="H8" s="6" t="inlineStr">
        <is>
          <t>n8n.io/pricing</t>
        </is>
      </c>
    </row>
    <row r="9">
      <c r="A9" s="4" t="inlineStr">
        <is>
          <t>Vercel</t>
        </is>
      </c>
      <c r="B9" s="4" t="inlineStr">
        <is>
          <t>Web app and API hosting</t>
        </is>
      </c>
      <c r="C9" s="4" t="inlineStr">
        <is>
          <t>Seat + included usage + overages</t>
        </is>
      </c>
      <c r="D9" s="4" t="inlineStr">
        <is>
          <t>Pro $20/mo with $20 usage credit</t>
        </is>
      </c>
      <c r="E9" s="4" t="inlineStr">
        <is>
          <t>Seats, compute, traffic, analytics</t>
        </is>
      </c>
      <c r="F9" s="4" t="inlineStr">
        <is>
          <t>Production hosting</t>
        </is>
      </c>
      <c r="G9" s="4" t="inlineStr">
        <is>
          <t>Cache reads; static assets; spend caps; separate enterprise teams only when required</t>
        </is>
      </c>
      <c r="H9" s="4" t="inlineStr">
        <is>
          <t>vercel.com/pricing</t>
        </is>
      </c>
    </row>
    <row r="10">
      <c r="A10" s="6" t="inlineStr">
        <is>
          <t>Resend</t>
        </is>
      </c>
      <c r="B10" s="6" t="inlineStr">
        <is>
          <t>Transactional confirmations</t>
        </is>
      </c>
      <c r="C10" s="6" t="inlineStr">
        <is>
          <t>Emails/month</t>
        </is>
      </c>
      <c r="D10" s="6" t="inlineStr">
        <is>
          <t>Free 3k; Pro $20/50k; $0.90 per extra 1k</t>
        </is>
      </c>
      <c r="E10" s="6" t="inlineStr">
        <is>
          <t>Email count and domains</t>
        </is>
      </c>
      <c r="F10" s="6" t="inlineStr">
        <is>
          <t>Reliable order/reservation emails</t>
        </is>
      </c>
      <c r="G10" s="6" t="inlineStr">
        <is>
          <t>Pool domains on Pro; maintain SPF/DKIM/DMARC; suppress bounces</t>
        </is>
      </c>
      <c r="H10" s="6" t="inlineStr">
        <is>
          <t>resend.com/pricing</t>
        </is>
      </c>
    </row>
    <row r="11">
      <c r="A11" s="4" t="inlineStr">
        <is>
          <t>Twilio US</t>
        </is>
      </c>
      <c r="B11" s="4" t="inlineStr">
        <is>
          <t>PSTN number and calls</t>
        </is>
      </c>
      <c r="C11" s="4" t="inlineStr">
        <is>
          <t>Number + per minute</t>
        </is>
      </c>
      <c r="D11" s="4" t="inlineStr">
        <is>
          <t>$1.15 local number; $0.0085 inbound; $0.014 outbound</t>
        </is>
      </c>
      <c r="E11" s="4" t="inlineStr">
        <is>
          <t>Country, direction, duration</t>
        </is>
      </c>
      <c r="F11" s="4" t="inlineStr">
        <is>
          <t>Phone deployment for US clients</t>
        </is>
      </c>
      <c r="G11" s="4" t="inlineStr">
        <is>
          <t>Pass through; use local inbound; negotiate volume at scale</t>
        </is>
      </c>
      <c r="H11" s="4" t="inlineStr">
        <is>
          <t>twilio.com/en-us/voice/pricing/us</t>
        </is>
      </c>
    </row>
    <row r="12">
      <c r="A12" s="6" t="inlineStr">
        <is>
          <t>Twilio Pakistan</t>
        </is>
      </c>
      <c r="B12" s="6" t="inlineStr">
        <is>
          <t>PSTN outbound / SIP</t>
        </is>
      </c>
      <c r="C12" s="6" t="inlineStr">
        <is>
          <t>Per minute; local availability varies</t>
        </is>
      </c>
      <c r="D12" s="6" t="inlineStr">
        <is>
          <t>$0.155 landline; $0.18 mobile outbound</t>
        </is>
      </c>
      <c r="E12" s="6" t="inlineStr">
        <is>
          <t>Destination and carrier</t>
        </is>
      </c>
      <c r="F12" s="6" t="inlineStr">
        <is>
          <t>Fallback only until local SIP is contracted</t>
        </is>
      </c>
      <c r="G12" s="6" t="inlineStr">
        <is>
          <t>Do not bundle; source local SIP; use BYOC when commercially viable</t>
        </is>
      </c>
      <c r="H12" s="6" t="inlineStr">
        <is>
          <t>twilio.com/voice/pricing/pk</t>
        </is>
      </c>
    </row>
  </sheetData>
  <autoFilter ref="A1:J12"/>
  <mergeCells count="2">
    <mergeCell ref="A1:J1"/>
    <mergeCell ref="A2:J2"/>
  </mergeCells>
  <pageMargins left="0.25" right="0.2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  <col width="36" customWidth="1" min="4" max="4"/>
    <col width="22" customWidth="1" min="5" max="5"/>
    <col width="48" customWidth="1" min="6" max="6"/>
    <col width="42" customWidth="1" min="7" max="7"/>
  </cols>
  <sheetData>
    <row r="1" ht="34" customHeight="1">
      <c r="A1" s="1" t="inlineStr">
        <is>
          <t>Global Pricing Benchmarks</t>
        </is>
      </c>
    </row>
    <row r="2" ht="25" customHeight="1">
      <c r="A2" s="2" t="inlineStr">
        <is>
          <t>Productized voice platforms, managed receptionists, and agency market benchmarks are different categories; use them to frame value, not as identical substitutes.</t>
        </is>
      </c>
    </row>
    <row r="4" ht="32" customHeight="1">
      <c r="A4" s="3" t="inlineStr">
        <is>
          <t>Provider</t>
        </is>
      </c>
      <c r="B4" s="3" t="inlineStr">
        <is>
          <t>Category</t>
        </is>
      </c>
      <c r="C4" s="3" t="inlineStr">
        <is>
          <t>Published price</t>
        </is>
      </c>
      <c r="D4" s="3" t="inlineStr">
        <is>
          <t>Usage included / basis</t>
        </is>
      </c>
      <c r="E4" s="3" t="inlineStr">
        <is>
          <t>Setup</t>
        </is>
      </c>
      <c r="F4" s="3" t="inlineStr">
        <is>
          <t>What it proves</t>
        </is>
      </c>
      <c r="G4" s="3" t="inlineStr">
        <is>
          <t>Source</t>
        </is>
      </c>
    </row>
    <row r="5">
      <c r="A5" s="4" t="inlineStr">
        <is>
          <t>Goodcall</t>
        </is>
      </c>
      <c r="B5" s="4" t="inlineStr">
        <is>
          <t>Self-serve AI phone agent</t>
        </is>
      </c>
      <c r="C5" s="4" t="inlineStr">
        <is>
          <t>$79 / $129 / $249 per agent monthly</t>
        </is>
      </c>
      <c r="D5" s="4" t="inlineStr">
        <is>
          <t>100 / 250 / 500 unique customers; $0.50 extra customer</t>
        </is>
      </c>
      <c r="E5" s="4" t="inlineStr">
        <is>
          <t>Self-serve</t>
        </is>
      </c>
      <c r="F5" s="4" t="inlineStr">
        <is>
          <t>Low-end anchor is software only, not custom managed operations</t>
        </is>
      </c>
      <c r="G5" s="4" t="inlineStr">
        <is>
          <t>goodcall.com/pricing</t>
        </is>
      </c>
    </row>
    <row r="6">
      <c r="A6" s="6" t="inlineStr">
        <is>
          <t>Smith.ai</t>
        </is>
      </c>
      <c r="B6" s="6" t="inlineStr">
        <is>
          <t>Hybrid managed receptionist</t>
        </is>
      </c>
      <c r="C6" s="6" t="inlineStr">
        <is>
          <t>$300 / $810 / $2,100 monthly</t>
        </is>
      </c>
      <c r="D6" s="6" t="inlineStr">
        <is>
          <t>30 / 90 / 300 calls</t>
        </is>
      </c>
      <c r="E6" s="6" t="inlineStr">
        <is>
          <t>Included onboarding</t>
        </is>
      </c>
      <c r="F6" s="6" t="inlineStr">
        <is>
          <t>Businesses pay substantially for accountable call handling</t>
        </is>
      </c>
      <c r="G6" s="6" t="inlineStr">
        <is>
          <t>smith.ai/receptionists</t>
        </is>
      </c>
    </row>
    <row r="7">
      <c r="A7" s="4" t="inlineStr">
        <is>
          <t>WildRun AI</t>
        </is>
      </c>
      <c r="B7" s="4" t="inlineStr">
        <is>
          <t>Managed AI receptionist agency</t>
        </is>
      </c>
      <c r="C7" s="4" t="inlineStr">
        <is>
          <t>$497 / $997 / $1,997 monthly</t>
        </is>
      </c>
      <c r="D7" s="4" t="inlineStr">
        <is>
          <t>500 min on Starter; higher tiers</t>
        </is>
      </c>
      <c r="E7" s="4" t="inlineStr">
        <is>
          <t>$1,500 Starter</t>
        </is>
      </c>
      <c r="F7" s="4" t="inlineStr">
        <is>
          <t>Validates setup + managed monthly tiers near our global proposal</t>
        </is>
      </c>
      <c r="G7" s="4" t="inlineStr">
        <is>
          <t>wildrunai.com/pricing</t>
        </is>
      </c>
    </row>
    <row r="8">
      <c r="A8" s="6" t="inlineStr">
        <is>
          <t>My AI Front Desk</t>
        </is>
      </c>
      <c r="B8" s="6" t="inlineStr">
        <is>
          <t>White-label reseller platform</t>
        </is>
      </c>
      <c r="C8" s="6" t="inlineStr">
        <is>
          <t>$54.99 wholesale example; resellers sell $400+</t>
        </is>
      </c>
      <c r="D8" s="6" t="inlineStr">
        <is>
          <t>Wholesale and rebilling</t>
        </is>
      </c>
      <c r="E8" s="6" t="inlineStr">
        <is>
          <t>Varies</t>
        </is>
      </c>
      <c r="F8" s="6" t="inlineStr">
        <is>
          <t>Margin comes from packaging, brand, configuration, and service</t>
        </is>
      </c>
      <c r="G8" s="6" t="inlineStr">
        <is>
          <t>myaifrontdesk.com/white-label</t>
        </is>
      </c>
    </row>
    <row r="9">
      <c r="A9" s="4" t="inlineStr">
        <is>
          <t>Retell AI</t>
        </is>
      </c>
      <c r="B9" s="4" t="inlineStr">
        <is>
          <t>Developer voice platform</t>
        </is>
      </c>
      <c r="C9" s="4" t="inlineStr">
        <is>
          <t>$0.07-$0.31/min</t>
        </is>
      </c>
      <c r="D9" s="4" t="inlineStr">
        <is>
          <t>Pay as you go; 20 concurrent calls</t>
        </is>
      </c>
      <c r="E9" s="4" t="inlineStr">
        <is>
          <t>Developer setup</t>
        </is>
      </c>
      <c r="F9" s="4" t="inlineStr">
        <is>
          <t>Raw infrastructure cost is not the client value</t>
        </is>
      </c>
      <c r="G9" s="4" t="inlineStr">
        <is>
          <t>retellai.com/pricing</t>
        </is>
      </c>
    </row>
    <row r="10">
      <c r="A10" s="6" t="inlineStr">
        <is>
          <t>Vapi</t>
        </is>
      </c>
      <c r="B10" s="6" t="inlineStr">
        <is>
          <t>Developer voice platform</t>
        </is>
      </c>
      <c r="C10" s="6" t="inlineStr">
        <is>
          <t>$0.05/min platform fee</t>
        </is>
      </c>
      <c r="D10" s="6" t="inlineStr">
        <is>
          <t>Providers and telephony additional</t>
        </is>
      </c>
      <c r="E10" s="6" t="inlineStr">
        <is>
          <t>Developer setup</t>
        </is>
      </c>
      <c r="F10" s="6" t="inlineStr">
        <is>
          <t>Composable stack; provider costs must be added</t>
        </is>
      </c>
      <c r="G10" s="6" t="inlineStr">
        <is>
          <t>vapi.ai/pricing</t>
        </is>
      </c>
    </row>
    <row r="11">
      <c r="A11" s="4" t="inlineStr">
        <is>
          <t>Bland AI</t>
        </is>
      </c>
      <c r="B11" s="4" t="inlineStr">
        <is>
          <t>Developer voice platform</t>
        </is>
      </c>
      <c r="C11" s="4" t="inlineStr">
        <is>
          <t>$0.14/min free; $299+$0.12; $499+$0.11</t>
        </is>
      </c>
      <c r="D11" s="4" t="inlineStr">
        <is>
          <t>Voice stack included; telephony varies</t>
        </is>
      </c>
      <c r="E11" s="4" t="inlineStr">
        <is>
          <t>Developer setup</t>
        </is>
      </c>
      <c r="F11" s="4" t="inlineStr">
        <is>
          <t>Scale discounts lower raw cost, but service still required</t>
        </is>
      </c>
      <c r="G11" s="4" t="inlineStr">
        <is>
          <t>bland.ai/pricing</t>
        </is>
      </c>
    </row>
    <row r="12">
      <c r="A12" s="6" t="inlineStr">
        <is>
          <t>Synthflow</t>
        </is>
      </c>
      <c r="B12" s="6" t="inlineStr">
        <is>
          <t>Enterprise voice platform</t>
        </is>
      </c>
      <c r="C12" s="6" t="inlineStr">
        <is>
          <t>Enterprise from $30,000/year</t>
        </is>
      </c>
      <c r="D12" s="6" t="inlineStr">
        <is>
          <t>Volume, concurrency, support, security</t>
        </is>
      </c>
      <c r="E12" s="6" t="inlineStr">
        <is>
          <t>Sales-led</t>
        </is>
      </c>
      <c r="F12" s="6" t="inlineStr">
        <is>
          <t>Enterprise buyers purchase reliability and governance</t>
        </is>
      </c>
      <c r="G12" s="6" t="inlineStr">
        <is>
          <t>synthflow.ai/pricing</t>
        </is>
      </c>
    </row>
    <row r="13">
      <c r="A13" s="4" t="inlineStr">
        <is>
          <t>Clutch AI firms</t>
        </is>
      </c>
      <c r="B13" s="4" t="inlineStr">
        <is>
          <t>Custom AI development market</t>
        </is>
      </c>
      <c r="C13" s="4" t="inlineStr">
        <is>
          <t>$24-$49/hour common; projects $10k-$49,999</t>
        </is>
      </c>
      <c r="D13" s="4" t="inlineStr">
        <is>
          <t>Average reviewed project much higher</t>
        </is>
      </c>
      <c r="E13" s="4" t="inlineStr">
        <is>
          <t>Project based</t>
        </is>
      </c>
      <c r="F13" s="4" t="inlineStr">
        <is>
          <t>Custom AI work supports strong implementation fees</t>
        </is>
      </c>
      <c r="G13" s="4" t="inlineStr">
        <is>
          <t>clutch.co/developers/artificial-intelligence/pricing</t>
        </is>
      </c>
    </row>
  </sheetData>
  <autoFilter ref="A1:J13"/>
  <mergeCells count="2">
    <mergeCell ref="A1:J1"/>
    <mergeCell ref="A2:J2"/>
  </mergeCell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8" customWidth="1" min="4" max="4"/>
    <col width="30" customWidth="1" min="5" max="5"/>
    <col width="22" customWidth="1" min="6" max="6"/>
    <col width="28" customWidth="1" min="7" max="7"/>
    <col width="28" customWidth="1" min="8" max="8"/>
  </cols>
  <sheetData>
    <row r="1" ht="34" customHeight="1">
      <c r="A1" s="1" t="inlineStr">
        <is>
          <t>Monthly Service Scope and Retention Engine</t>
        </is>
      </c>
    </row>
    <row r="2" ht="25" customHeight="1">
      <c r="A2" s="2" t="inlineStr">
        <is>
          <t>Support is an operating product: monitor, measure, improve, and prove value every month.</t>
        </is>
      </c>
    </row>
    <row r="4" ht="32" customHeight="1">
      <c r="A4" s="3" t="inlineStr">
        <is>
          <t>Tier</t>
        </is>
      </c>
      <c r="B4" s="3" t="inlineStr">
        <is>
          <t>Monitoring</t>
        </is>
      </c>
      <c r="C4" s="3" t="inlineStr">
        <is>
          <t>Conversation QA</t>
        </is>
      </c>
      <c r="D4" s="3" t="inlineStr">
        <is>
          <t>Optimization</t>
        </is>
      </c>
      <c r="E4" s="3" t="inlineStr">
        <is>
          <t>Reporting</t>
        </is>
      </c>
      <c r="F4" s="3" t="inlineStr">
        <is>
          <t>Included change time</t>
        </is>
      </c>
      <c r="G4" s="3" t="inlineStr">
        <is>
          <t>Critical response target</t>
        </is>
      </c>
      <c r="H4" s="3" t="inlineStr">
        <is>
          <t>Business review</t>
        </is>
      </c>
    </row>
    <row r="5">
      <c r="A5" s="4" t="inlineStr">
        <is>
          <t>Launch</t>
        </is>
      </c>
      <c r="B5" s="4" t="inlineStr">
        <is>
          <t>Business-day alerts</t>
        </is>
      </c>
      <c r="C5" s="4" t="inlineStr">
        <is>
          <t>10 calls/month</t>
        </is>
      </c>
      <c r="D5" s="4" t="inlineStr">
        <is>
          <t>1 prompt/KB tune</t>
        </is>
      </c>
      <c r="E5" s="4" t="inlineStr">
        <is>
          <t>Monthly scorecard</t>
        </is>
      </c>
      <c r="F5" s="4" t="inlineStr">
        <is>
          <t>1 hour</t>
        </is>
      </c>
      <c r="G5" s="4" t="inlineStr">
        <is>
          <t>Next business day</t>
        </is>
      </c>
      <c r="H5" s="4" t="inlineStr">
        <is>
          <t>Quarterly</t>
        </is>
      </c>
    </row>
    <row r="6">
      <c r="A6" s="6" t="inlineStr">
        <is>
          <t>Growth</t>
        </is>
      </c>
      <c r="B6" s="6" t="inlineStr">
        <is>
          <t>Daily automated checks</t>
        </is>
      </c>
      <c r="C6" s="6" t="inlineStr">
        <is>
          <t>25 calls/month</t>
        </is>
      </c>
      <c r="D6" s="6" t="inlineStr">
        <is>
          <t>2 tune cycles</t>
        </is>
      </c>
      <c r="E6" s="6" t="inlineStr">
        <is>
          <t>Monthly ROI report</t>
        </is>
      </c>
      <c r="F6" s="6" t="inlineStr">
        <is>
          <t>3 hours</t>
        </is>
      </c>
      <c r="G6" s="6" t="inlineStr">
        <is>
          <t>8 business hours</t>
        </is>
      </c>
      <c r="H6" s="6" t="inlineStr">
        <is>
          <t>Monthly</t>
        </is>
      </c>
    </row>
    <row r="7">
      <c r="A7" s="4" t="inlineStr">
        <is>
          <t>Scale</t>
        </is>
      </c>
      <c r="B7" s="4" t="inlineStr">
        <is>
          <t>24/7 technical alerts</t>
        </is>
      </c>
      <c r="C7" s="4" t="inlineStr">
        <is>
          <t>75 calls/month + failure review</t>
        </is>
      </c>
      <c r="D7" s="4" t="inlineStr">
        <is>
          <t>Weekly tuning</t>
        </is>
      </c>
      <c r="E7" s="4" t="inlineStr">
        <is>
          <t>Location + funnel report</t>
        </is>
      </c>
      <c r="F7" s="4" t="inlineStr">
        <is>
          <t>6 hours</t>
        </is>
      </c>
      <c r="G7" s="4" t="inlineStr">
        <is>
          <t>4 hours</t>
        </is>
      </c>
      <c r="H7" s="4" t="inlineStr">
        <is>
          <t>Monthly</t>
        </is>
      </c>
    </row>
    <row r="8">
      <c r="A8" s="6" t="inlineStr">
        <is>
          <t>Enterprise</t>
        </is>
      </c>
      <c r="B8" s="6" t="inlineStr">
        <is>
          <t>24/7 on-call monitoring</t>
        </is>
      </c>
      <c r="C8" s="6" t="inlineStr">
        <is>
          <t>Risk-based sample + automated evals</t>
        </is>
      </c>
      <c r="D8" s="6" t="inlineStr">
        <is>
          <t>Continuous release cadence</t>
        </is>
      </c>
      <c r="E8" s="6" t="inlineStr">
        <is>
          <t>Executive + operational dashboards</t>
        </is>
      </c>
      <c r="F8" s="6" t="inlineStr">
        <is>
          <t>12 hours</t>
        </is>
      </c>
      <c r="G8" s="6" t="inlineStr">
        <is>
          <t>1 hour Sev-1 acknowledgement</t>
        </is>
      </c>
      <c r="H8" s="6" t="inlineStr">
        <is>
          <t>Monthly + quarterly roadmap</t>
        </is>
      </c>
    </row>
    <row r="11">
      <c r="A11" s="15" t="inlineStr">
        <is>
          <t>Monthly value proof</t>
        </is>
      </c>
    </row>
    <row r="12">
      <c r="A12" t="inlineStr">
        <is>
          <t>• Calls/conversations handled</t>
        </is>
      </c>
    </row>
    <row r="13">
      <c r="A13" t="inlineStr">
        <is>
          <t>• Orders/reservations completed</t>
        </is>
      </c>
    </row>
    <row r="14">
      <c r="A14" t="inlineStr">
        <is>
          <t>• Completion and transfer rate</t>
        </is>
      </c>
    </row>
    <row r="15">
      <c r="A15" t="inlineStr">
        <is>
          <t>• Estimated revenue captured</t>
        </is>
      </c>
    </row>
    <row r="16">
      <c r="A16" t="inlineStr">
        <is>
          <t>• Average response latency</t>
        </is>
      </c>
    </row>
    <row r="17">
      <c r="A17" t="inlineStr">
        <is>
          <t>• Top failure reasons</t>
        </is>
      </c>
    </row>
    <row r="18">
      <c r="A18" t="inlineStr">
        <is>
          <t>• Human hours saved</t>
        </is>
      </c>
    </row>
    <row r="19">
      <c r="A19" t="inlineStr">
        <is>
          <t>• Changes shipped</t>
        </is>
      </c>
    </row>
  </sheetData>
  <autoFilter ref="A1:J19"/>
  <mergeCells count="2">
    <mergeCell ref="A1:J1"/>
    <mergeCell ref="A2:J2"/>
  </mergeCells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9" customWidth="1" min="5" max="5"/>
    <col width="16" customWidth="1" min="6" max="6"/>
    <col width="17" customWidth="1" min="7" max="7"/>
    <col width="17" customWidth="1" min="8" max="8"/>
    <col width="15" customWidth="1" min="9" max="9"/>
    <col width="17" customWidth="1" min="10" max="10"/>
  </cols>
  <sheetData>
    <row r="1" ht="34" customHeight="1">
      <c r="A1" s="1" t="inlineStr">
        <is>
          <t>Illustrative Portfolio Forecast</t>
        </is>
      </c>
    </row>
    <row r="2" ht="25" customHeight="1">
      <c r="A2" s="2" t="inlineStr">
        <is>
          <t>Editable client mix. This is contribution margin before sales, management, tax, and corporate overhead.</t>
        </is>
      </c>
    </row>
    <row r="4" ht="32" customHeight="1">
      <c r="A4" s="3" t="inlineStr">
        <is>
          <t>Scenario</t>
        </is>
      </c>
      <c r="B4" s="3" t="inlineStr">
        <is>
          <t>Launch clients</t>
        </is>
      </c>
      <c r="C4" s="3" t="inlineStr">
        <is>
          <t>Growth clients</t>
        </is>
      </c>
      <c r="D4" s="3" t="inlineStr">
        <is>
          <t>Scale clients</t>
        </is>
      </c>
      <c r="E4" s="3" t="inlineStr">
        <is>
          <t>Enterprise clients</t>
        </is>
      </c>
      <c r="F4" s="3" t="inlineStr">
        <is>
          <t>MRR</t>
        </is>
      </c>
      <c r="G4" s="3" t="inlineStr">
        <is>
          <t>Direct COGS</t>
        </is>
      </c>
      <c r="H4" s="3" t="inlineStr">
        <is>
          <t>Gross profit</t>
        </is>
      </c>
      <c r="I4" s="3" t="inlineStr">
        <is>
          <t>Gross margin</t>
        </is>
      </c>
      <c r="J4" s="3" t="inlineStr">
        <is>
          <t>ARR</t>
        </is>
      </c>
    </row>
    <row r="5">
      <c r="A5" s="4" t="inlineStr">
        <is>
          <t>Early traction</t>
        </is>
      </c>
      <c r="B5" s="4" t="n">
        <v>3</v>
      </c>
      <c r="C5" s="4" t="n">
        <v>2</v>
      </c>
      <c r="D5" s="4" t="n">
        <v>0</v>
      </c>
      <c r="E5" s="4" t="n">
        <v>0</v>
      </c>
      <c r="F5" s="18">
        <f>B5*'Unit Economics'!B5+C5*'Unit Economics'!B6+D5*'Unit Economics'!B7+E5*'Unit Economics'!B8</f>
        <v/>
      </c>
      <c r="G5" s="18">
        <f>B5*'Unit Economics'!H5+C5*'Unit Economics'!H6+D5*'Unit Economics'!H7+E5*'Unit Economics'!H8</f>
        <v/>
      </c>
      <c r="H5" s="18">
        <f>F5-G5</f>
        <v/>
      </c>
      <c r="I5" s="19">
        <f>H5/F5</f>
        <v/>
      </c>
      <c r="J5" s="18">
        <f>F5*12</f>
        <v/>
      </c>
    </row>
    <row r="6">
      <c r="A6" s="6" t="inlineStr">
        <is>
          <t>Product-market fit</t>
        </is>
      </c>
      <c r="B6" s="6" t="n">
        <v>8</v>
      </c>
      <c r="C6" s="6" t="n">
        <v>7</v>
      </c>
      <c r="D6" s="6" t="n">
        <v>3</v>
      </c>
      <c r="E6" s="6" t="n">
        <v>0</v>
      </c>
      <c r="F6" s="20">
        <f>B6*'Unit Economics'!B5+C6*'Unit Economics'!B6+D6*'Unit Economics'!B7+E6*'Unit Economics'!B8</f>
        <v/>
      </c>
      <c r="G6" s="20">
        <f>B6*'Unit Economics'!H5+C6*'Unit Economics'!H6+D6*'Unit Economics'!H7+E6*'Unit Economics'!H8</f>
        <v/>
      </c>
      <c r="H6" s="20">
        <f>F6-G6</f>
        <v/>
      </c>
      <c r="I6" s="21">
        <f>H6/F6</f>
        <v/>
      </c>
      <c r="J6" s="20">
        <f>F6*12</f>
        <v/>
      </c>
    </row>
    <row r="7">
      <c r="A7" s="4" t="inlineStr">
        <is>
          <t>Scaled agency</t>
        </is>
      </c>
      <c r="B7" s="4" t="n">
        <v>15</v>
      </c>
      <c r="C7" s="4" t="n">
        <v>20</v>
      </c>
      <c r="D7" s="4" t="n">
        <v>10</v>
      </c>
      <c r="E7" s="4" t="n">
        <v>2</v>
      </c>
      <c r="F7" s="18">
        <f>B7*'Unit Economics'!B5+C7*'Unit Economics'!B6+D7*'Unit Economics'!B7+E7*'Unit Economics'!B8</f>
        <v/>
      </c>
      <c r="G7" s="18">
        <f>B7*'Unit Economics'!H5+C7*'Unit Economics'!H6+D7*'Unit Economics'!H7+E7*'Unit Economics'!H8</f>
        <v/>
      </c>
      <c r="H7" s="18">
        <f>F7-G7</f>
        <v/>
      </c>
      <c r="I7" s="19">
        <f>H7/F7</f>
        <v/>
      </c>
      <c r="J7" s="18">
        <f>F7*12</f>
        <v/>
      </c>
    </row>
    <row r="8">
      <c r="A8" s="6" t="inlineStr">
        <is>
          <t>Regional leader</t>
        </is>
      </c>
      <c r="B8" s="6" t="n">
        <v>25</v>
      </c>
      <c r="C8" s="6" t="n">
        <v>40</v>
      </c>
      <c r="D8" s="6" t="n">
        <v>25</v>
      </c>
      <c r="E8" s="6" t="n">
        <v>5</v>
      </c>
      <c r="F8" s="20">
        <f>B8*'Unit Economics'!B5+C8*'Unit Economics'!B6+D8*'Unit Economics'!B7+E8*'Unit Economics'!B8</f>
        <v/>
      </c>
      <c r="G8" s="20">
        <f>B8*'Unit Economics'!H5+C8*'Unit Economics'!H6+D8*'Unit Economics'!H7+E8*'Unit Economics'!H8</f>
        <v/>
      </c>
      <c r="H8" s="20">
        <f>F8-G8</f>
        <v/>
      </c>
      <c r="I8" s="21">
        <f>H8/F8</f>
        <v/>
      </c>
      <c r="J8" s="20">
        <f>F8*12</f>
        <v/>
      </c>
    </row>
  </sheetData>
  <autoFilter ref="A1:J8"/>
  <mergeCells count="2">
    <mergeCell ref="A1:J1"/>
    <mergeCell ref="A2:J2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48" customWidth="1" min="2" max="2"/>
    <col width="37" customWidth="1" min="3" max="3"/>
    <col width="38" customWidth="1" min="4" max="4"/>
    <col width="45" customWidth="1" min="5" max="5"/>
  </cols>
  <sheetData>
    <row r="1" ht="34" customHeight="1">
      <c r="A1" s="1" t="inlineStr">
        <is>
          <t>How to Sell and Scale</t>
        </is>
      </c>
    </row>
    <row r="2" ht="25" customHeight="1">
      <c r="A2" s="2" t="inlineStr">
        <is>
          <t>Niche-first, proof-led, recurring managed service.</t>
        </is>
      </c>
    </row>
    <row r="4" ht="32" customHeight="1">
      <c r="A4" s="3" t="inlineStr">
        <is>
          <t>Stage</t>
        </is>
      </c>
      <c r="B4" s="3" t="inlineStr">
        <is>
          <t>Action</t>
        </is>
      </c>
      <c r="C4" s="3" t="inlineStr">
        <is>
          <t>Asset / KPI</t>
        </is>
      </c>
      <c r="D4" s="3" t="inlineStr">
        <is>
          <t>Commercial rule</t>
        </is>
      </c>
      <c r="E4" s="3" t="inlineStr">
        <is>
          <t>Scaling mechanism</t>
        </is>
      </c>
    </row>
    <row r="5">
      <c r="A5" s="4" t="inlineStr">
        <is>
          <t>Choose niche</t>
        </is>
      </c>
      <c r="B5" s="4" t="inlineStr">
        <is>
          <t>Start with restaurants, then adjacent appointment-led businesses</t>
        </is>
      </c>
      <c r="C5" s="4" t="inlineStr">
        <is>
          <t>One repeatable demo and ROI calculator</t>
        </is>
      </c>
      <c r="D5" s="4" t="inlineStr">
        <is>
          <t>Do not customize the core for every prospect</t>
        </is>
      </c>
      <c r="E5" s="4" t="inlineStr">
        <is>
          <t>Reusable prompts, workflows, onboarding checklist</t>
        </is>
      </c>
    </row>
    <row r="6">
      <c r="A6" s="6" t="inlineStr">
        <is>
          <t>Lead generation</t>
        </is>
      </c>
      <c r="B6" s="6" t="inlineStr">
        <is>
          <t>Target missed-call pain, peak-hour overflow, and slow booking response</t>
        </is>
      </c>
      <c r="C6" s="6" t="inlineStr">
        <is>
          <t>50 named accounts/week; 10 demos/month</t>
        </is>
      </c>
      <c r="D6" s="6" t="inlineStr">
        <is>
          <t>Sell a paid pilot or annual plan</t>
        </is>
      </c>
      <c r="E6" s="6" t="inlineStr">
        <is>
          <t>Outbound, referrals, POS/CRM partners</t>
        </is>
      </c>
    </row>
    <row r="7">
      <c r="A7" s="4" t="inlineStr">
        <is>
          <t>Discovery</t>
        </is>
      </c>
      <c r="B7" s="4" t="inlineStr">
        <is>
          <t>Measure calls, minutes, completion, average ticket, labor and failure cost</t>
        </is>
      </c>
      <c r="C7" s="4" t="inlineStr">
        <is>
          <t>Baseline business case</t>
        </is>
      </c>
      <c r="D7" s="4" t="inlineStr">
        <is>
          <t>Price by value and volume, not vendor bill</t>
        </is>
      </c>
      <c r="E7" s="4" t="inlineStr">
        <is>
          <t>Standard discovery form</t>
        </is>
      </c>
    </row>
    <row r="8">
      <c r="A8" s="6" t="inlineStr">
        <is>
          <t>Pilot</t>
        </is>
      </c>
      <c r="B8" s="6" t="inlineStr">
        <is>
          <t>Run one location/use case for 30-45 days</t>
        </is>
      </c>
      <c r="C8" s="6" t="inlineStr">
        <is>
          <t>Completion &gt;85%; error budget; revenue captured</t>
        </is>
      </c>
      <c r="D8" s="6" t="inlineStr">
        <is>
          <t>Setup paid; clear acceptance criteria</t>
        </is>
      </c>
      <c r="E8" s="6" t="inlineStr">
        <is>
          <t>Reusable test suite and launch gate</t>
        </is>
      </c>
    </row>
    <row r="9">
      <c r="A9" s="4" t="inlineStr">
        <is>
          <t>Expansion</t>
        </is>
      </c>
      <c r="B9" s="4" t="inlineStr">
        <is>
          <t>Add channels, workflows, locations, languages and outbound campaigns</t>
        </is>
      </c>
      <c r="C9" s="4" t="inlineStr">
        <is>
          <t>Net revenue retention &gt;110%</t>
        </is>
      </c>
      <c r="D9" s="4" t="inlineStr">
        <is>
          <t>Per-location and module add-ons</t>
        </is>
      </c>
      <c r="E9" s="4" t="inlineStr">
        <is>
          <t>Land-and-expand roadmap</t>
        </is>
      </c>
    </row>
    <row r="10">
      <c r="A10" s="6" t="inlineStr">
        <is>
          <t>Retention</t>
        </is>
      </c>
      <c r="B10" s="6" t="inlineStr">
        <is>
          <t>Monthly QA, ROI report, tuning and roadmap</t>
        </is>
      </c>
      <c r="C10" s="6" t="inlineStr">
        <is>
          <t>Logo churn &lt;2% monthly; gross margin &gt;65%</t>
        </is>
      </c>
      <c r="D10" s="6" t="inlineStr">
        <is>
          <t>Annual prepay 10% discount</t>
        </is>
      </c>
      <c r="E10" s="6" t="inlineStr">
        <is>
          <t>Customer success cadence</t>
        </is>
      </c>
    </row>
    <row r="11">
      <c r="A11" s="4" t="inlineStr">
        <is>
          <t>Operations</t>
        </is>
      </c>
      <c r="B11" s="4" t="inlineStr">
        <is>
          <t>Central monitoring with separate client data and secrets</t>
        </is>
      </c>
      <c r="C11" s="4" t="inlineStr">
        <is>
          <t>Incidents, latency, task success</t>
        </is>
      </c>
      <c r="D11" s="4" t="inlineStr">
        <is>
          <t>No shared credentials with clients</t>
        </is>
      </c>
      <c r="E11" s="4" t="inlineStr">
        <is>
          <t>Templates, automated evaluations, runbooks</t>
        </is>
      </c>
    </row>
  </sheetData>
  <autoFilter ref="A1:J11"/>
  <mergeCells count="2">
    <mergeCell ref="A1:J1"/>
    <mergeCell ref="A2:J2"/>
  </mergeCells>
  <pageMargins left="0.25" right="0.2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4" customWidth="1" min="2" max="2"/>
    <col width="16" customWidth="1" min="3" max="3"/>
    <col width="45" customWidth="1" min="4" max="4"/>
  </cols>
  <sheetData>
    <row r="1" ht="34" customHeight="1">
      <c r="A1" s="1" t="inlineStr">
        <is>
          <t>Research Sources</t>
        </is>
      </c>
    </row>
    <row r="2" ht="25" customHeight="1">
      <c r="A2" s="2" t="inlineStr">
        <is>
          <t>Primary vendor pages were preferred for tool pricing. Agency benchmarks include published provider pages and Clutch's reviewed marketplace data.</t>
        </is>
      </c>
    </row>
    <row r="4" ht="32" customHeight="1">
      <c r="A4" s="3" t="inlineStr">
        <is>
          <t>Topic</t>
        </is>
      </c>
      <c r="B4" s="3" t="inlineStr">
        <is>
          <t>URL</t>
        </is>
      </c>
      <c r="C4" s="3" t="inlineStr">
        <is>
          <t>Checked</t>
        </is>
      </c>
      <c r="D4" s="3" t="inlineStr">
        <is>
          <t>Notes</t>
        </is>
      </c>
    </row>
    <row r="5">
      <c r="A5" s="4" t="inlineStr">
        <is>
          <t>ElevenLabs Agents</t>
        </is>
      </c>
      <c r="B5" s="22" t="inlineStr">
        <is>
          <t>https://elevenlabs.io/pricing/agents</t>
        </is>
      </c>
      <c r="C5" s="4" t="inlineStr">
        <is>
          <t>2026-07-13</t>
        </is>
      </c>
      <c r="D5" s="4" t="inlineStr">
        <is>
          <t>Plans, minutes, concurrency, overage</t>
        </is>
      </c>
    </row>
    <row r="6">
      <c r="A6" s="6" t="inlineStr">
        <is>
          <t>Gemini API</t>
        </is>
      </c>
      <c r="B6" s="23" t="inlineStr">
        <is>
          <t>https://ai.google.dev/gemini-api/docs/pricing</t>
        </is>
      </c>
      <c r="C6" s="6" t="inlineStr">
        <is>
          <t>2026-07-13</t>
        </is>
      </c>
      <c r="D6" s="6" t="inlineStr">
        <is>
          <t>Token prices</t>
        </is>
      </c>
    </row>
    <row r="7">
      <c r="A7" s="4" t="inlineStr">
        <is>
          <t>Supabase</t>
        </is>
      </c>
      <c r="B7" s="22" t="inlineStr">
        <is>
          <t>https://supabase.com/pricing</t>
        </is>
      </c>
      <c r="C7" s="4" t="inlineStr">
        <is>
          <t>2026-07-13</t>
        </is>
      </c>
      <c r="D7" s="4" t="inlineStr">
        <is>
          <t>Plan, project, compute and overages</t>
        </is>
      </c>
    </row>
    <row r="8">
      <c r="A8" s="6" t="inlineStr">
        <is>
          <t>n8n</t>
        </is>
      </c>
      <c r="B8" s="23" t="inlineStr">
        <is>
          <t>https://n8n.io/pricing/</t>
        </is>
      </c>
      <c r="C8" s="6" t="inlineStr">
        <is>
          <t>2026-07-13</t>
        </is>
      </c>
      <c r="D8" s="6" t="inlineStr">
        <is>
          <t>Execution-based cloud pricing</t>
        </is>
      </c>
    </row>
    <row r="9">
      <c r="A9" s="4" t="inlineStr">
        <is>
          <t>Vercel</t>
        </is>
      </c>
      <c r="B9" s="22" t="inlineStr">
        <is>
          <t>https://vercel.com/pricing</t>
        </is>
      </c>
      <c r="C9" s="4" t="inlineStr">
        <is>
          <t>2026-07-13</t>
        </is>
      </c>
      <c r="D9" s="4" t="inlineStr">
        <is>
          <t>Pro and usage model</t>
        </is>
      </c>
    </row>
    <row r="10">
      <c r="A10" s="6" t="inlineStr">
        <is>
          <t>Resend</t>
        </is>
      </c>
      <c r="B10" s="23" t="inlineStr">
        <is>
          <t>https://resend.com/pricing</t>
        </is>
      </c>
      <c r="C10" s="6" t="inlineStr">
        <is>
          <t>2026-07-13</t>
        </is>
      </c>
      <c r="D10" s="6" t="inlineStr">
        <is>
          <t>Transactional email</t>
        </is>
      </c>
    </row>
    <row r="11">
      <c r="A11" s="4" t="inlineStr">
        <is>
          <t>Twilio US</t>
        </is>
      </c>
      <c r="B11" s="22" t="inlineStr">
        <is>
          <t>https://www.twilio.com/en-us/voice/pricing/us</t>
        </is>
      </c>
      <c r="C11" s="4" t="inlineStr">
        <is>
          <t>2026-07-13</t>
        </is>
      </c>
      <c r="D11" s="4" t="inlineStr">
        <is>
          <t>Inbound/outbound and number</t>
        </is>
      </c>
    </row>
    <row r="12">
      <c r="A12" s="6" t="inlineStr">
        <is>
          <t>Twilio Pakistan</t>
        </is>
      </c>
      <c r="B12" s="23" t="inlineStr">
        <is>
          <t>https://www.twilio.com/voice/pricing/pk</t>
        </is>
      </c>
      <c r="C12" s="6" t="inlineStr">
        <is>
          <t>2026-07-13</t>
        </is>
      </c>
      <c r="D12" s="6" t="inlineStr">
        <is>
          <t>Outbound rates; availability varies</t>
        </is>
      </c>
    </row>
    <row r="13">
      <c r="A13" s="4" t="inlineStr">
        <is>
          <t>Goodcall</t>
        </is>
      </c>
      <c r="B13" s="22" t="inlineStr">
        <is>
          <t>https://www.goodcall.com/pricing</t>
        </is>
      </c>
      <c r="C13" s="4" t="inlineStr">
        <is>
          <t>2026-07-13</t>
        </is>
      </c>
      <c r="D13" s="4" t="inlineStr">
        <is>
          <t>Self-serve competitor</t>
        </is>
      </c>
    </row>
    <row r="14">
      <c r="A14" s="6" t="inlineStr">
        <is>
          <t>Smith.ai</t>
        </is>
      </c>
      <c r="B14" s="23" t="inlineStr">
        <is>
          <t>https://smith.ai/receptionists</t>
        </is>
      </c>
      <c r="C14" s="6" t="inlineStr">
        <is>
          <t>2026-07-13</t>
        </is>
      </c>
      <c r="D14" s="6" t="inlineStr">
        <is>
          <t>Managed receptionist benchmark</t>
        </is>
      </c>
    </row>
    <row r="15">
      <c r="A15" s="4" t="inlineStr">
        <is>
          <t>Retell AI</t>
        </is>
      </c>
      <c r="B15" s="22" t="inlineStr">
        <is>
          <t>https://www.retellai.com/pricing</t>
        </is>
      </c>
      <c r="C15" s="4" t="inlineStr">
        <is>
          <t>2026-07-13</t>
        </is>
      </c>
      <c r="D15" s="4" t="inlineStr">
        <is>
          <t>Voice infrastructure benchmark</t>
        </is>
      </c>
    </row>
    <row r="16">
      <c r="A16" s="6" t="inlineStr">
        <is>
          <t>Vapi</t>
        </is>
      </c>
      <c r="B16" s="23" t="inlineStr">
        <is>
          <t>https://vapi.ai/pricing</t>
        </is>
      </c>
      <c r="C16" s="6" t="inlineStr">
        <is>
          <t>2026-07-13</t>
        </is>
      </c>
      <c r="D16" s="6" t="inlineStr">
        <is>
          <t>Voice infrastructure benchmark</t>
        </is>
      </c>
    </row>
    <row r="17">
      <c r="A17" s="4" t="inlineStr">
        <is>
          <t>Bland AI</t>
        </is>
      </c>
      <c r="B17" s="22" t="inlineStr">
        <is>
          <t>https://www.bland.ai/pricing</t>
        </is>
      </c>
      <c r="C17" s="4" t="inlineStr">
        <is>
          <t>2026-07-13</t>
        </is>
      </c>
      <c r="D17" s="4" t="inlineStr">
        <is>
          <t>Voice infrastructure benchmark</t>
        </is>
      </c>
    </row>
    <row r="18">
      <c r="A18" s="6" t="inlineStr">
        <is>
          <t>Synthflow</t>
        </is>
      </c>
      <c r="B18" s="23" t="inlineStr">
        <is>
          <t>https://synthflow.ai/pricing</t>
        </is>
      </c>
      <c r="C18" s="6" t="inlineStr">
        <is>
          <t>2026-07-13</t>
        </is>
      </c>
      <c r="D18" s="6" t="inlineStr">
        <is>
          <t>Enterprise platform benchmark</t>
        </is>
      </c>
    </row>
    <row r="19">
      <c r="A19" s="4" t="inlineStr">
        <is>
          <t>My AI Front Desk</t>
        </is>
      </c>
      <c r="B19" s="22" t="inlineStr">
        <is>
          <t>https://www.myaifrontdesk.com/white-label</t>
        </is>
      </c>
      <c r="C19" s="4" t="inlineStr">
        <is>
          <t>2026-07-13</t>
        </is>
      </c>
      <c r="D19" s="4" t="inlineStr">
        <is>
          <t>White-label/rebilling model</t>
        </is>
      </c>
    </row>
    <row r="20">
      <c r="A20" s="6" t="inlineStr">
        <is>
          <t>WildRun AI</t>
        </is>
      </c>
      <c r="B20" s="23" t="inlineStr">
        <is>
          <t>https://wildrunai.com/pricing</t>
        </is>
      </c>
      <c r="C20" s="6" t="inlineStr">
        <is>
          <t>2026-07-13</t>
        </is>
      </c>
      <c r="D20" s="6" t="inlineStr">
        <is>
          <t>Managed agency benchmark</t>
        </is>
      </c>
    </row>
    <row r="21">
      <c r="A21" s="4" t="inlineStr">
        <is>
          <t>Clutch AI pricing</t>
        </is>
      </c>
      <c r="B21" s="22" t="inlineStr">
        <is>
          <t>https://clutch.co/developers/artificial-intelligence/pricing</t>
        </is>
      </c>
      <c r="C21" s="4" t="inlineStr">
        <is>
          <t>2026-07-13</t>
        </is>
      </c>
      <c r="D21" s="4" t="inlineStr">
        <is>
          <t>Global custom development benchmark</t>
        </is>
      </c>
    </row>
  </sheetData>
  <autoFilter ref="A1:J21"/>
  <mergeCells count="2">
    <mergeCell ref="A1:J1"/>
    <mergeCell ref="A2:J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</hyperlink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2026-07-13T19:14:59Z</dcterms:created>
  <dcterms:modified xsi:type="dcterms:W3CDTF">2026-07-13T19:14:59Z</dcterms:modified>
</cp:coreProperties>
</file>